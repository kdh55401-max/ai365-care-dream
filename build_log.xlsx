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발로그" sheetId="1" state="visible" r:id="rId1"/>
    <sheet name="요약" sheetId="2" state="visible" r:id="rId2"/>
  </sheets>
  <definedNames>
    <definedName name="_xlnm._FilterDatabase" localSheetId="0" hidden="1">'개발로그'!$A$1:$E$34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4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60" customWidth="1" min="3" max="3"/>
    <col width="12" customWidth="1" min="4" max="4"/>
    <col width="30" customWidth="1" min="5" max="5"/>
  </cols>
  <sheetData>
    <row r="1">
      <c r="A1" s="1" t="inlineStr">
        <is>
          <t>번호</t>
        </is>
      </c>
      <c r="B1" s="1" t="inlineStr">
        <is>
          <t>날짜</t>
        </is>
      </c>
      <c r="C1" s="1" t="inlineStr">
        <is>
          <t>작업 내용</t>
        </is>
      </c>
      <c r="D1" s="1" t="inlineStr">
        <is>
          <t>상태</t>
        </is>
      </c>
      <c r="E1" s="1" t="inlineStr">
        <is>
          <t>비고</t>
        </is>
      </c>
    </row>
    <row r="2">
      <c r="A2" s="2" t="n">
        <v>1</v>
      </c>
      <c r="B2" s="2" t="inlineStr">
        <is>
          <t>2026-08-29</t>
        </is>
      </c>
      <c r="C2" s="3" t="inlineStr">
        <is>
          <t>Initial commit: AI365 CARE DREAM 요양보호사 현장 대응 MVP (React+TS+Vite+Tailwind, 음성입력, AI 분석, 위험도 3단계, 통화기록, 사례초안)</t>
        </is>
      </c>
      <c r="D2" s="4" t="inlineStr">
        <is>
          <t>완료</t>
        </is>
      </c>
      <c r="E2" s="3" t="inlineStr">
        <is>
          <t>git 커밋 2건 기준 소급 기록</t>
        </is>
      </c>
    </row>
    <row r="3">
      <c r="A3" s="2" t="n">
        <v>2</v>
      </c>
      <c r="B3" s="2" t="inlineStr">
        <is>
          <t>2026-08-29</t>
        </is>
      </c>
      <c r="C3" s="3" t="inlineStr">
        <is>
          <t>개인정보 보호 Google Analytics 4 트래킹 추가</t>
        </is>
      </c>
      <c r="D3" s="4" t="inlineStr">
        <is>
          <t>완료</t>
        </is>
      </c>
      <c r="E3" s="3" t="inlineStr"/>
    </row>
    <row r="4">
      <c r="A4" s="2" t="n">
        <v>3</v>
      </c>
      <c r="B4" s="2" t="inlineStr">
        <is>
          <t>2026-08-30</t>
        </is>
      </c>
      <c r="C4" s="3" t="inlineStr">
        <is>
          <t>GitHub 저장소 연동 (kdh55401-max/ai365-care-dream, origin, master 브랜치 동기화)</t>
        </is>
      </c>
      <c r="D4" s="4" t="inlineStr">
        <is>
          <t>완료</t>
        </is>
      </c>
      <c r="E4" s="3" t="inlineStr"/>
    </row>
    <row r="5">
      <c r="A5" s="2">
        <f>IF(C5="","",ROW()-1)</f>
        <v/>
      </c>
      <c r="B5" s="2" t="n"/>
      <c r="C5" s="3" t="n"/>
      <c r="D5" s="2" t="n"/>
      <c r="E5" s="3" t="n"/>
    </row>
    <row r="6">
      <c r="A6" s="2">
        <f>IF(C6="","",ROW()-1)</f>
        <v/>
      </c>
      <c r="B6" s="2" t="n"/>
      <c r="C6" s="3" t="n"/>
      <c r="D6" s="2" t="n"/>
      <c r="E6" s="3" t="n"/>
    </row>
    <row r="7">
      <c r="A7" s="2">
        <f>IF(C7="","",ROW()-1)</f>
        <v/>
      </c>
      <c r="B7" s="2" t="n"/>
      <c r="C7" s="3" t="n"/>
      <c r="D7" s="2" t="n"/>
      <c r="E7" s="3" t="n"/>
    </row>
    <row r="8">
      <c r="A8" s="2">
        <f>IF(C8="","",ROW()-1)</f>
        <v/>
      </c>
      <c r="B8" s="2" t="n"/>
      <c r="C8" s="3" t="n"/>
      <c r="D8" s="2" t="n"/>
      <c r="E8" s="3" t="n"/>
    </row>
    <row r="9">
      <c r="A9" s="2">
        <f>IF(C9="","",ROW()-1)</f>
        <v/>
      </c>
      <c r="B9" s="2" t="n"/>
      <c r="C9" s="3" t="n"/>
      <c r="D9" s="2" t="n"/>
      <c r="E9" s="3" t="n"/>
    </row>
    <row r="10">
      <c r="A10" s="2">
        <f>IF(C10="","",ROW()-1)</f>
        <v/>
      </c>
      <c r="B10" s="2" t="n"/>
      <c r="C10" s="3" t="n"/>
      <c r="D10" s="2" t="n"/>
      <c r="E10" s="3" t="n"/>
    </row>
    <row r="11">
      <c r="A11" s="2">
        <f>IF(C11="","",ROW()-1)</f>
        <v/>
      </c>
      <c r="B11" s="2" t="n"/>
      <c r="C11" s="3" t="n"/>
      <c r="D11" s="2" t="n"/>
      <c r="E11" s="3" t="n"/>
    </row>
    <row r="12">
      <c r="A12" s="2">
        <f>IF(C12="","",ROW()-1)</f>
        <v/>
      </c>
      <c r="B12" s="2" t="n"/>
      <c r="C12" s="3" t="n"/>
      <c r="D12" s="2" t="n"/>
      <c r="E12" s="3" t="n"/>
    </row>
    <row r="13">
      <c r="A13" s="2">
        <f>IF(C13="","",ROW()-1)</f>
        <v/>
      </c>
      <c r="B13" s="2" t="n"/>
      <c r="C13" s="3" t="n"/>
      <c r="D13" s="2" t="n"/>
      <c r="E13" s="3" t="n"/>
    </row>
    <row r="14">
      <c r="A14" s="2">
        <f>IF(C14="","",ROW()-1)</f>
        <v/>
      </c>
      <c r="B14" s="2" t="n"/>
      <c r="C14" s="3" t="n"/>
      <c r="D14" s="2" t="n"/>
      <c r="E14" s="3" t="n"/>
    </row>
    <row r="15">
      <c r="A15" s="2">
        <f>IF(C15="","",ROW()-1)</f>
        <v/>
      </c>
      <c r="B15" s="2" t="n"/>
      <c r="C15" s="3" t="n"/>
      <c r="D15" s="2" t="n"/>
      <c r="E15" s="3" t="n"/>
    </row>
    <row r="16">
      <c r="A16" s="2">
        <f>IF(C16="","",ROW()-1)</f>
        <v/>
      </c>
      <c r="B16" s="2" t="n"/>
      <c r="C16" s="3" t="n"/>
      <c r="D16" s="2" t="n"/>
      <c r="E16" s="3" t="n"/>
    </row>
    <row r="17">
      <c r="A17" s="2">
        <f>IF(C17="","",ROW()-1)</f>
        <v/>
      </c>
      <c r="B17" s="2" t="n"/>
      <c r="C17" s="3" t="n"/>
      <c r="D17" s="2" t="n"/>
      <c r="E17" s="3" t="n"/>
    </row>
    <row r="18">
      <c r="A18" s="2">
        <f>IF(C18="","",ROW()-1)</f>
        <v/>
      </c>
      <c r="B18" s="2" t="n"/>
      <c r="C18" s="3" t="n"/>
      <c r="D18" s="2" t="n"/>
      <c r="E18" s="3" t="n"/>
    </row>
    <row r="19">
      <c r="A19" s="2">
        <f>IF(C19="","",ROW()-1)</f>
        <v/>
      </c>
      <c r="B19" s="2" t="n"/>
      <c r="C19" s="3" t="n"/>
      <c r="D19" s="2" t="n"/>
      <c r="E19" s="3" t="n"/>
    </row>
    <row r="20">
      <c r="A20" s="2">
        <f>IF(C20="","",ROW()-1)</f>
        <v/>
      </c>
      <c r="B20" s="2" t="n"/>
      <c r="C20" s="3" t="n"/>
      <c r="D20" s="2" t="n"/>
      <c r="E20" s="3" t="n"/>
    </row>
    <row r="21">
      <c r="A21" s="2">
        <f>IF(C21="","",ROW()-1)</f>
        <v/>
      </c>
      <c r="B21" s="2" t="n"/>
      <c r="C21" s="3" t="n"/>
      <c r="D21" s="2" t="n"/>
      <c r="E21" s="3" t="n"/>
    </row>
    <row r="22">
      <c r="A22" s="2">
        <f>IF(C22="","",ROW()-1)</f>
        <v/>
      </c>
      <c r="B22" s="2" t="n"/>
      <c r="C22" s="3" t="n"/>
      <c r="D22" s="2" t="n"/>
      <c r="E22" s="3" t="n"/>
    </row>
    <row r="23">
      <c r="A23" s="2">
        <f>IF(C23="","",ROW()-1)</f>
        <v/>
      </c>
      <c r="B23" s="2" t="n"/>
      <c r="C23" s="3" t="n"/>
      <c r="D23" s="2" t="n"/>
      <c r="E23" s="3" t="n"/>
    </row>
    <row r="24">
      <c r="A24" s="2">
        <f>IF(C24="","",ROW()-1)</f>
        <v/>
      </c>
      <c r="B24" s="2" t="n"/>
      <c r="C24" s="3" t="n"/>
      <c r="D24" s="2" t="n"/>
      <c r="E24" s="3" t="n"/>
    </row>
    <row r="25">
      <c r="A25" s="2">
        <f>IF(C25="","",ROW()-1)</f>
        <v/>
      </c>
      <c r="B25" s="2" t="n"/>
      <c r="C25" s="3" t="n"/>
      <c r="D25" s="2" t="n"/>
      <c r="E25" s="3" t="n"/>
    </row>
    <row r="26">
      <c r="A26" s="2">
        <f>IF(C26="","",ROW()-1)</f>
        <v/>
      </c>
      <c r="B26" s="2" t="n"/>
      <c r="C26" s="3" t="n"/>
      <c r="D26" s="2" t="n"/>
      <c r="E26" s="3" t="n"/>
    </row>
    <row r="27">
      <c r="A27" s="2">
        <f>IF(C27="","",ROW()-1)</f>
        <v/>
      </c>
      <c r="B27" s="2" t="n"/>
      <c r="C27" s="3" t="n"/>
      <c r="D27" s="2" t="n"/>
      <c r="E27" s="3" t="n"/>
    </row>
    <row r="28">
      <c r="A28" s="2">
        <f>IF(C28="","",ROW()-1)</f>
        <v/>
      </c>
      <c r="B28" s="2" t="n"/>
      <c r="C28" s="3" t="n"/>
      <c r="D28" s="2" t="n"/>
      <c r="E28" s="3" t="n"/>
    </row>
    <row r="29">
      <c r="A29" s="2">
        <f>IF(C29="","",ROW()-1)</f>
        <v/>
      </c>
      <c r="B29" s="2" t="n"/>
      <c r="C29" s="3" t="n"/>
      <c r="D29" s="2" t="n"/>
      <c r="E29" s="3" t="n"/>
    </row>
    <row r="30">
      <c r="A30" s="2">
        <f>IF(C30="","",ROW()-1)</f>
        <v/>
      </c>
      <c r="B30" s="2" t="n"/>
      <c r="C30" s="3" t="n"/>
      <c r="D30" s="2" t="n"/>
      <c r="E30" s="3" t="n"/>
    </row>
    <row r="31">
      <c r="A31" s="2">
        <f>IF(C31="","",ROW()-1)</f>
        <v/>
      </c>
      <c r="B31" s="2" t="n"/>
      <c r="C31" s="3" t="n"/>
      <c r="D31" s="2" t="n"/>
      <c r="E31" s="3" t="n"/>
    </row>
    <row r="32">
      <c r="A32" s="2">
        <f>IF(C32="","",ROW()-1)</f>
        <v/>
      </c>
      <c r="B32" s="2" t="n"/>
      <c r="C32" s="3" t="n"/>
      <c r="D32" s="2" t="n"/>
      <c r="E32" s="3" t="n"/>
    </row>
    <row r="33">
      <c r="A33" s="2">
        <f>IF(C33="","",ROW()-1)</f>
        <v/>
      </c>
      <c r="B33" s="2" t="n"/>
      <c r="C33" s="3" t="n"/>
      <c r="D33" s="2" t="n"/>
      <c r="E33" s="3" t="n"/>
    </row>
    <row r="34">
      <c r="A34" s="2">
        <f>IF(C34="","",ROW()-1)</f>
        <v/>
      </c>
      <c r="B34" s="2" t="n"/>
      <c r="C34" s="3" t="n"/>
      <c r="D34" s="2" t="n"/>
      <c r="E34" s="3" t="n"/>
    </row>
  </sheetData>
  <autoFilter ref="A1:E34"/>
  <dataValidations count="1">
    <dataValidation sqref="D2:D34" showDropDown="0" showInputMessage="0" showErrorMessage="0" allowBlank="1" type="list">
      <formula1>"완료,진행중,예정,보류"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5" t="inlineStr">
        <is>
          <t>AI365 CARE DREAM 빌드 진행 요약</t>
        </is>
      </c>
    </row>
    <row r="3">
      <c r="A3" s="6" t="inlineStr">
        <is>
          <t>상태</t>
        </is>
      </c>
      <c r="B3" s="6" t="inlineStr">
        <is>
          <t>건수</t>
        </is>
      </c>
    </row>
    <row r="4">
      <c r="A4" s="7" t="inlineStr">
        <is>
          <t>완료</t>
        </is>
      </c>
      <c r="B4" s="7">
        <f>COUNTIF(개발로그!D:D,"완료")</f>
        <v/>
      </c>
    </row>
    <row r="5">
      <c r="A5" s="7" t="inlineStr">
        <is>
          <t>진행중</t>
        </is>
      </c>
      <c r="B5" s="7">
        <f>COUNTIF(개발로그!D:D,"진행중")</f>
        <v/>
      </c>
    </row>
    <row r="6">
      <c r="A6" s="7" t="inlineStr">
        <is>
          <t>예정</t>
        </is>
      </c>
      <c r="B6" s="7">
        <f>COUNTIF(개발로그!D:D,"예정")</f>
        <v/>
      </c>
    </row>
    <row r="7">
      <c r="A7" s="7" t="inlineStr">
        <is>
          <t>보류</t>
        </is>
      </c>
      <c r="B7" s="7">
        <f>COUNTIF(개발로그!D:D,"보류")</f>
        <v/>
      </c>
    </row>
    <row r="9">
      <c r="A9" s="8" t="inlineStr">
        <is>
          <t>총 작업 항목</t>
        </is>
      </c>
      <c r="B9" s="8">
        <f>COUNTA(개발로그!C2:C34)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2026-08-30T06:45:10Z</dcterms:created>
  <dcterms:modified xsi:type="dcterms:W3CDTF">2026-08-30T06:45:10Z</dcterms:modified>
</cp:coreProperties>
</file>